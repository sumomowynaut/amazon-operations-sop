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04广告A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808080"/>
      <sz val="8.5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0000"/>
      <sz val="10"/>
    </font>
    <font>
      <name val="微软雅黑"/>
      <b val="1"/>
      <color rgb="001F4E00"/>
      <sz val="10"/>
    </font>
  </fonts>
  <fills count="7">
    <fill>
      <patternFill/>
    </fill>
    <fill>
      <patternFill patternType="gray125"/>
    </fill>
    <fill>
      <patternFill patternType="solid">
        <fgColor rgb="002B4C7E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/>
    </xf>
    <xf numFmtId="0" fontId="4" fillId="0" borderId="1" pivotButton="0" quotePrefix="0" xfId="0"/>
    <xf numFmtId="164" fontId="5" fillId="5" borderId="1" pivotButton="0" quotePrefix="0" xfId="0"/>
    <xf numFmtId="0" fontId="2" fillId="0" borderId="1" pivotButton="0" quotePrefix="0" xfId="0"/>
    <xf numFmtId="165" fontId="5" fillId="5" borderId="1" pivotButton="0" quotePrefix="0" xfId="0"/>
    <xf numFmtId="164" fontId="6" fillId="6" borderId="1" pivotButton="0" quotePrefix="0" xfId="0"/>
    <xf numFmtId="166" fontId="6" fillId="6" borderId="1" pivotButton="0" quotePrefix="0" xfId="0"/>
    <xf numFmtId="165" fontId="6" fillId="6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6" customWidth="1" min="3" max="3"/>
  </cols>
  <sheetData>
    <row r="1" ht="26" customHeight="1">
      <c r="A1" s="1" t="inlineStr">
        <is>
          <t>C04 广告 ACOS / TACOS 计算器</t>
        </is>
      </c>
    </row>
    <row r="2" ht="28" customHeight="1">
      <c r="A2" s="2" t="inlineStr">
        <is>
          <t>黄色=输入；绿色=自动计算。TACOS 为非官方指标（D级）；ACOS/ROAS 为官方指标（B级）。</t>
        </is>
      </c>
    </row>
    <row r="4">
      <c r="A4" s="3" t="inlineStr">
        <is>
          <t>一、输入区</t>
        </is>
      </c>
    </row>
    <row r="5">
      <c r="A5" s="4" t="inlineStr">
        <is>
          <t>广告花费 Spend（美元）</t>
        </is>
      </c>
      <c r="B5" s="5" t="n">
        <v>1600</v>
      </c>
      <c r="C5" s="6" t="inlineStr">
        <is>
          <t>周期内总广告费</t>
        </is>
      </c>
    </row>
    <row r="6">
      <c r="A6" s="4" t="inlineStr">
        <is>
          <t>广告归因销售 Ad Sales（美元）</t>
        </is>
      </c>
      <c r="B6" s="5" t="n">
        <v>4000</v>
      </c>
      <c r="C6" s="6" t="inlineStr">
        <is>
          <t>Ads Console 归因销售</t>
        </is>
      </c>
    </row>
    <row r="7">
      <c r="A7" s="4" t="inlineStr">
        <is>
          <t>自然销售 Organic Sales（美元）</t>
        </is>
      </c>
      <c r="B7" s="5" t="n">
        <v>2000</v>
      </c>
      <c r="C7" s="6" t="inlineStr">
        <is>
          <t>总销售−广告销售</t>
        </is>
      </c>
    </row>
    <row r="8">
      <c r="A8" s="4" t="inlineStr">
        <is>
          <t>售价（美元/件）</t>
        </is>
      </c>
      <c r="B8" s="5" t="n">
        <v>21.99</v>
      </c>
      <c r="C8" s="6" t="inlineStr">
        <is>
          <t>用于算盈亏平衡</t>
        </is>
      </c>
    </row>
    <row r="9">
      <c r="A9" s="4" t="inlineStr">
        <is>
          <t>佣金率 %</t>
        </is>
      </c>
      <c r="B9" s="7" t="n">
        <v>15</v>
      </c>
      <c r="C9" s="6" t="inlineStr">
        <is>
          <t>A级，需登录核实</t>
        </is>
      </c>
    </row>
    <row r="10">
      <c r="A10" s="4" t="inlineStr">
        <is>
          <t>FBA 费（美元/件）</t>
        </is>
      </c>
      <c r="B10" s="5" t="n">
        <v>6.3</v>
      </c>
      <c r="C10" s="6" t="inlineStr">
        <is>
          <t>A级，需登录核实</t>
        </is>
      </c>
    </row>
    <row r="11">
      <c r="A11" s="4" t="inlineStr">
        <is>
          <t>产品成本（美元/件）</t>
        </is>
      </c>
      <c r="B11" s="5" t="n">
        <v>3.8</v>
      </c>
      <c r="C11" s="6" t="inlineStr">
        <is>
          <t>含包装</t>
        </is>
      </c>
    </row>
    <row r="12">
      <c r="A12" s="4" t="inlineStr">
        <is>
          <t>头程（美元/件）</t>
        </is>
      </c>
      <c r="B12" s="5" t="n">
        <v>0.9</v>
      </c>
    </row>
    <row r="13">
      <c r="A13" s="4" t="inlineStr">
        <is>
          <t>退货损失（美元/件）</t>
        </is>
      </c>
      <c r="B13" s="5" t="n">
        <v>1.4</v>
      </c>
    </row>
    <row r="15">
      <c r="A15" s="3" t="inlineStr">
        <is>
          <t>二、输出区</t>
        </is>
      </c>
    </row>
    <row r="16">
      <c r="A16" s="4" t="inlineStr">
        <is>
          <t>总销售 Total Sales</t>
        </is>
      </c>
      <c r="B16" s="8">
        <f>B6+B7</f>
        <v/>
      </c>
      <c r="C16" s="6" t="inlineStr">
        <is>
          <t>广告+自然</t>
        </is>
      </c>
    </row>
    <row r="17">
      <c r="A17" s="4" t="inlineStr">
        <is>
          <t>ACOS</t>
        </is>
      </c>
      <c r="B17" s="9">
        <f>IF(B6=0,0,B5/B6)</f>
        <v/>
      </c>
      <c r="C17" s="6" t="inlineStr">
        <is>
          <t>广告花费/广告销售</t>
        </is>
      </c>
    </row>
    <row r="18">
      <c r="A18" s="4" t="inlineStr">
        <is>
          <t>ROAS</t>
        </is>
      </c>
      <c r="B18" s="10">
        <f>IF(B5=0,0,B6/B5)</f>
        <v/>
      </c>
      <c r="C18" s="6" t="inlineStr">
        <is>
          <t>广告销售/广告花费</t>
        </is>
      </c>
    </row>
    <row r="19">
      <c r="A19" s="4" t="inlineStr">
        <is>
          <t>TACOS</t>
        </is>
      </c>
      <c r="B19" s="9">
        <f>IF(B16=0,0,B5/B16)</f>
        <v/>
      </c>
      <c r="C19" s="6" t="inlineStr">
        <is>
          <t>广告花费/总销售（D级非官方）</t>
        </is>
      </c>
    </row>
    <row r="20">
      <c r="A20" s="4" t="inlineStr">
        <is>
          <t>广告销售占比</t>
        </is>
      </c>
      <c r="B20" s="9">
        <f>IF(B16=0,0,B6/B16)</f>
        <v/>
      </c>
      <c r="C20" s="6" t="inlineStr">
        <is>
          <t>近似广告订单占比</t>
        </is>
      </c>
    </row>
    <row r="21">
      <c r="A21" s="4" t="inlineStr">
        <is>
          <t>盈亏平衡 ACOS</t>
        </is>
      </c>
      <c r="B21" s="9">
        <f>IF(B8=0,0,(B8-B8*B9/100-B10-B11-B12-B13)/B8)</f>
        <v/>
      </c>
      <c r="C21" s="6" t="inlineStr">
        <is>
          <t>广告停止线</t>
        </is>
      </c>
    </row>
    <row r="22">
      <c r="A22" s="4" t="inlineStr">
        <is>
          <t>广告盈亏判断</t>
        </is>
      </c>
      <c r="B22" s="11">
        <f>IF(B17&gt;B21,"超盈亏平衡线：广告边际亏损","低于盈亏平衡线：可接受")</f>
        <v/>
      </c>
    </row>
    <row r="24" ht="28" customHeight="1">
      <c r="A24" s="2" t="inlineStr">
        <is>
          <t>判断要点：新品期看 TACOS+自然排名趋势（05-12），不孤立看 ACOS；ACOS 超过盈亏平衡线且 TACOS 也高=纯亏损，进 05-11 诊断。</t>
        </is>
      </c>
    </row>
  </sheetData>
  <mergeCells count="5">
    <mergeCell ref="A1:C1"/>
    <mergeCell ref="A15:C15"/>
    <mergeCell ref="A4:C4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2026-08-27T13:35:35Z</dcterms:created>
  <dcterms:modified xmlns:dcterms="http://purl.org/dc/terms/" xmlns:xsi="http://www.w3.org/2001/XMLSchema-instance" xsi:type="dcterms:W3CDTF">2026-08-27T13:35:35Z</dcterms:modified>
</cp:coreProperties>
</file>