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1利润计算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808080"/>
      <sz val="8.5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1F4E00"/>
      <sz val="10"/>
    </font>
  </fonts>
  <fills count="7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/>
    </xf>
    <xf numFmtId="0" fontId="4" fillId="0" borderId="1" pivotButton="0" quotePrefix="0" xfId="0"/>
    <xf numFmtId="164" fontId="5" fillId="5" borderId="1" pivotButton="0" quotePrefix="0" xfId="0"/>
    <xf numFmtId="0" fontId="2" fillId="0" borderId="1" pivotButton="0" quotePrefix="0" xfId="0"/>
    <xf numFmtId="165" fontId="5" fillId="5" borderId="1" pivotButton="0" quotePrefix="0" xfId="0"/>
    <xf numFmtId="164" fontId="6" fillId="6" borderId="1" pivotButton="0" quotePrefix="0" xfId="0"/>
    <xf numFmtId="166" fontId="6" fillId="6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6" customWidth="1" min="3" max="3"/>
  </cols>
  <sheetData>
    <row r="1" ht="26" customHeight="1">
      <c r="A1" s="1" t="inlineStr">
        <is>
          <t>C01 利润计算器（全费用·四层利润口径）</t>
        </is>
      </c>
    </row>
    <row r="2" ht="28" customHeight="1">
      <c r="A2" s="2" t="inlineStr">
        <is>
          <t>黄色=手动输入；绿色=公式自动计算。费率为教学默认值，正式使用请登录 Seller Central 核实当前值（证据等级 A/B，需定期验证）。口径与 09-01 一致。</t>
        </is>
      </c>
    </row>
    <row r="4">
      <c r="A4" s="3" t="inlineStr">
        <is>
          <t>一、输入区（黄色单元格，可修改）</t>
        </is>
      </c>
    </row>
    <row r="5">
      <c r="A5" s="4" t="inlineStr">
        <is>
          <t>售价（美元/件）</t>
        </is>
      </c>
      <c r="B5" s="5" t="n">
        <v>21.99</v>
      </c>
      <c r="C5" s="6" t="inlineStr">
        <is>
          <t>目标售价</t>
        </is>
      </c>
    </row>
    <row r="6">
      <c r="A6" s="4" t="inlineStr">
        <is>
          <t>佣金率 %</t>
        </is>
      </c>
      <c r="B6" s="7" t="n">
        <v>15</v>
      </c>
      <c r="C6" s="6" t="inlineStr">
        <is>
          <t>A级：按类目，需登录核实</t>
        </is>
      </c>
    </row>
    <row r="7">
      <c r="A7" s="4" t="inlineStr">
        <is>
          <t>FBA 配送费（美元/件）</t>
        </is>
      </c>
      <c r="B7" s="5" t="n">
        <v>6.3</v>
      </c>
      <c r="C7" s="6" t="inlineStr">
        <is>
          <t>A级：按尺寸/重量分档+附加费，需登录核实</t>
        </is>
      </c>
    </row>
    <row r="8">
      <c r="A8" s="4" t="inlineStr">
        <is>
          <t>产品成本 COGS（美元/件）</t>
        </is>
      </c>
      <c r="B8" s="5" t="n">
        <v>3.8</v>
      </c>
      <c r="C8" s="6" t="inlineStr">
        <is>
          <t>含包装，是否含头程由团队口径定</t>
        </is>
      </c>
    </row>
    <row r="9">
      <c r="A9" s="4" t="inlineStr">
        <is>
          <t>头程物流（美元/件）</t>
        </is>
      </c>
      <c r="B9" s="5" t="n">
        <v>0.9</v>
      </c>
      <c r="C9" s="6" t="inlineStr">
        <is>
          <t>海运/空运分摊</t>
        </is>
      </c>
    </row>
    <row r="10">
      <c r="A10" s="4" t="inlineStr">
        <is>
          <t>广告费（美元/件）</t>
        </is>
      </c>
      <c r="B10" s="5" t="n">
        <v>3.5</v>
      </c>
      <c r="C10" s="6" t="inlineStr">
        <is>
          <t>广告预算 ÷ 预计销量</t>
        </is>
      </c>
    </row>
    <row r="11">
      <c r="A11" s="4" t="inlineStr">
        <is>
          <t>Coupon/促销费率 %</t>
        </is>
      </c>
      <c r="B11" s="7" t="n">
        <v>5</v>
      </c>
      <c r="C11" s="6" t="inlineStr">
        <is>
          <t>券面值占售价比例</t>
        </is>
      </c>
    </row>
    <row r="12">
      <c r="A12" s="4" t="inlineStr">
        <is>
          <t>退货率 %</t>
        </is>
      </c>
      <c r="B12" s="7" t="n">
        <v>6</v>
      </c>
      <c r="C12" s="6" t="inlineStr">
        <is>
          <t>D级：按类目/历史经验</t>
        </is>
      </c>
    </row>
    <row r="13">
      <c r="A13" s="4" t="inlineStr">
        <is>
          <t>退货单件损失（美元/件）</t>
        </is>
      </c>
      <c r="B13" s="5" t="n">
        <v>1.4</v>
      </c>
      <c r="C13" s="6" t="inlineStr">
        <is>
          <t>退款+退货处理费−残值（D口径）</t>
        </is>
      </c>
    </row>
    <row r="14">
      <c r="A14" s="4" t="inlineStr">
        <is>
          <t>仓储费（美元/件）</t>
        </is>
      </c>
      <c r="B14" s="5" t="n">
        <v>0.45</v>
      </c>
      <c r="C14" s="6" t="inlineStr">
        <is>
          <t>月度+长期仓储分摊</t>
        </is>
      </c>
    </row>
    <row r="15">
      <c r="A15" s="4" t="inlineStr">
        <is>
          <t>固定成本分摊（美元/件）</t>
        </is>
      </c>
      <c r="B15" s="5" t="n">
        <v>0.3</v>
      </c>
      <c r="C15" s="6" t="inlineStr">
        <is>
          <t>工资/房租/工具分摊</t>
        </is>
      </c>
    </row>
    <row r="16">
      <c r="A16" s="4" t="inlineStr">
        <is>
          <t>收款手续费率 %</t>
        </is>
      </c>
      <c r="B16" s="7" t="n">
        <v>1</v>
      </c>
      <c r="C16" s="6" t="inlineStr">
        <is>
          <t>Payoneer/PingPong 等</t>
        </is>
      </c>
    </row>
    <row r="17">
      <c r="A17" s="4" t="inlineStr">
        <is>
          <t>汇损率 %</t>
        </is>
      </c>
      <c r="B17" s="7" t="n">
        <v>0.5</v>
      </c>
      <c r="C17" s="6" t="inlineStr">
        <is>
          <t>跨币种结算汇率差</t>
        </is>
      </c>
    </row>
    <row r="18">
      <c r="A18" s="4" t="inlineStr">
        <is>
          <t>认证费摊销（美元/件）</t>
        </is>
      </c>
      <c r="B18" s="5" t="n">
        <v>0.2</v>
      </c>
      <c r="C18" s="6" t="inlineStr">
        <is>
          <t>FDA/CE/UL/CPC 等</t>
        </is>
      </c>
    </row>
    <row r="19">
      <c r="A19" s="4" t="inlineStr">
        <is>
          <t>软件订阅费摊销（美元/件）</t>
        </is>
      </c>
      <c r="B19" s="5" t="n">
        <v>0.15</v>
      </c>
      <c r="C19" s="6" t="inlineStr">
        <is>
          <t>Helium10 等工具</t>
        </is>
      </c>
    </row>
    <row r="20">
      <c r="A20" s="4" t="inlineStr">
        <is>
          <t>移除/弃置费摊销（美元/件）</t>
        </is>
      </c>
      <c r="B20" s="5" t="n">
        <v>0.05</v>
      </c>
      <c r="C20" s="6" t="inlineStr">
        <is>
          <t>清库存成本</t>
        </is>
      </c>
    </row>
    <row r="21">
      <c r="A21" s="4" t="inlineStr">
        <is>
          <t>样品/打样费摊销（美元/件）</t>
        </is>
      </c>
      <c r="B21" s="5" t="n">
        <v>0.1</v>
      </c>
      <c r="C21" s="6" t="inlineStr">
        <is>
          <t>新品开发期</t>
        </is>
      </c>
    </row>
    <row r="23">
      <c r="A23" s="3" t="inlineStr">
        <is>
          <t>二、输出区（自动计算，勿手改）</t>
        </is>
      </c>
    </row>
    <row r="24">
      <c r="A24" s="4" t="inlineStr">
        <is>
          <t>佣金金额</t>
        </is>
      </c>
      <c r="B24" s="8">
        <f>B5*B6/100</f>
        <v/>
      </c>
      <c r="C24" s="6" t="inlineStr">
        <is>
          <t>售价×佣金率</t>
        </is>
      </c>
    </row>
    <row r="25">
      <c r="A25" s="4" t="inlineStr">
        <is>
          <t>净收入</t>
        </is>
      </c>
      <c r="B25" s="8">
        <f>B5-B24-B7</f>
        <v/>
      </c>
      <c r="C25" s="6" t="inlineStr">
        <is>
          <t>售价−佣金−FBA费</t>
        </is>
      </c>
    </row>
    <row r="26">
      <c r="A26" s="4" t="inlineStr">
        <is>
          <t>毛利</t>
        </is>
      </c>
      <c r="B26" s="8">
        <f>B25-B8-B9</f>
        <v/>
      </c>
      <c r="C26" s="6" t="inlineStr">
        <is>
          <t>净收入−成本−头程</t>
        </is>
      </c>
    </row>
    <row r="27">
      <c r="A27" s="4" t="inlineStr">
        <is>
          <t>毛利率</t>
        </is>
      </c>
      <c r="B27" s="9">
        <f>IF(B5=0,0,B26/B5)</f>
        <v/>
      </c>
      <c r="C27" s="6" t="inlineStr">
        <is>
          <t>毛利/售价</t>
        </is>
      </c>
    </row>
    <row r="28">
      <c r="A28" s="4" t="inlineStr">
        <is>
          <t>Coupon 金额</t>
        </is>
      </c>
      <c r="B28" s="8">
        <f>B5*B11/100</f>
        <v/>
      </c>
      <c r="C28" s="6" t="inlineStr">
        <is>
          <t>售价×Coupon费率</t>
        </is>
      </c>
    </row>
    <row r="29">
      <c r="A29" s="4" t="inlineStr">
        <is>
          <t>贡献利润</t>
        </is>
      </c>
      <c r="B29" s="8">
        <f>B26-B10-B28-B13</f>
        <v/>
      </c>
      <c r="C29" s="6" t="inlineStr">
        <is>
          <t>毛利−广告−Coupon−退货</t>
        </is>
      </c>
    </row>
    <row r="30">
      <c r="A30" s="4" t="inlineStr">
        <is>
          <t>贡献利润率</t>
        </is>
      </c>
      <c r="B30" s="9">
        <f>IF(B5=0,0,B29/B5)</f>
        <v/>
      </c>
      <c r="C30" s="6" t="inlineStr">
        <is>
          <t>贡献利润/售价</t>
        </is>
      </c>
    </row>
    <row r="31">
      <c r="A31" s="4" t="inlineStr">
        <is>
          <t>运营利润</t>
        </is>
      </c>
      <c r="B31" s="8">
        <f>B29-B14-B15</f>
        <v/>
      </c>
      <c r="C31" s="6" t="inlineStr">
        <is>
          <t>贡献−仓储−固定分摊</t>
        </is>
      </c>
    </row>
    <row r="32">
      <c r="A32" s="4" t="inlineStr">
        <is>
          <t>收款手续费金额</t>
        </is>
      </c>
      <c r="B32" s="8">
        <f>B5*B16/100</f>
        <v/>
      </c>
      <c r="C32" s="6" t="inlineStr">
        <is>
          <t>售价×手续费率</t>
        </is>
      </c>
    </row>
    <row r="33">
      <c r="A33" s="4" t="inlineStr">
        <is>
          <t>汇损金额</t>
        </is>
      </c>
      <c r="B33" s="8">
        <f>B5*B17/100</f>
        <v/>
      </c>
      <c r="C33" s="6" t="inlineStr">
        <is>
          <t>售价×汇损率</t>
        </is>
      </c>
    </row>
    <row r="34">
      <c r="A34" s="4" t="inlineStr">
        <is>
          <t>净利润</t>
        </is>
      </c>
      <c r="B34" s="8">
        <f>B31-B32-B33-B18-B19-B20-B21</f>
        <v/>
      </c>
      <c r="C34" s="6" t="inlineStr">
        <is>
          <t>运营−手续费−汇损−认证−软件−移除−样品</t>
        </is>
      </c>
    </row>
    <row r="35">
      <c r="A35" s="4" t="inlineStr">
        <is>
          <t>净利率</t>
        </is>
      </c>
      <c r="B35" s="9">
        <f>IF(B5=0,0,B34/B5)</f>
        <v/>
      </c>
      <c r="C35" s="6" t="inlineStr">
        <is>
          <t>净利润/售价</t>
        </is>
      </c>
    </row>
    <row r="36">
      <c r="A36" s="4" t="inlineStr">
        <is>
          <t>盈亏平衡 ACOS</t>
        </is>
      </c>
      <c r="B36" s="9">
        <f>IF(B5=0,0,(B5-B24-B7-B8-B9-B13)/B5)</f>
        <v/>
      </c>
      <c r="C36" s="6" t="inlineStr">
        <is>
          <t>广告上限，非目标值</t>
        </is>
      </c>
    </row>
    <row r="37">
      <c r="A37" s="4" t="inlineStr">
        <is>
          <t>盈亏判断</t>
        </is>
      </c>
      <c r="B37" s="10">
        <f>IF(B34&gt;=0,"盈利","亏损")</f>
        <v/>
      </c>
    </row>
    <row r="39" ht="28" customHeight="1">
      <c r="A39" s="2" t="inlineStr">
        <is>
          <t>使用说明：1) 所有黄色输入项均需按实际填写；2) 费率以 Seller Central 当前值为准；3) 盈亏平衡 ACOS 用于广告判断（见 05-08/05-12），超过即广告边际亏损。</t>
        </is>
      </c>
    </row>
  </sheetData>
  <mergeCells count="5">
    <mergeCell ref="A1:C1"/>
    <mergeCell ref="A23:C23"/>
    <mergeCell ref="A39:C39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2026-08-27T13:35:35Z</dcterms:created>
  <dcterms:modified xmlns:dcterms="http://purl.org/dc/terms/" xmlns:xsi="http://www.w3.org/2001/XMLSchema-instance" xsi:type="dcterms:W3CDTF">2026-08-27T13:35:35Z</dcterms:modified>
</cp:coreProperties>
</file>