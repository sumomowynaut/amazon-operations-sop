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03库存补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808080"/>
      <sz val="8.5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000000"/>
      <sz val="10"/>
    </font>
    <font>
      <name val="微软雅黑"/>
      <b val="1"/>
      <color rgb="001F4E00"/>
      <sz val="10"/>
    </font>
  </fonts>
  <fills count="7">
    <fill>
      <patternFill/>
    </fill>
    <fill>
      <patternFill patternType="gray125"/>
    </fill>
    <fill>
      <patternFill patternType="solid">
        <fgColor rgb="002B4C7E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left" vertical="center"/>
    </xf>
    <xf numFmtId="0" fontId="4" fillId="0" borderId="1" pivotButton="0" quotePrefix="0" xfId="0"/>
    <xf numFmtId="164" fontId="5" fillId="5" borderId="1" pivotButton="0" quotePrefix="0" xfId="0"/>
    <xf numFmtId="0" fontId="2" fillId="0" borderId="1" pivotButton="0" quotePrefix="0" xfId="0"/>
    <xf numFmtId="1" fontId="5" fillId="5" borderId="1" pivotButton="0" quotePrefix="0" xfId="0"/>
    <xf numFmtId="1" fontId="6" fillId="6" borderId="1" pivotButton="0" quotePrefix="0" xfId="0"/>
    <xf numFmtId="164" fontId="6" fillId="6" borderId="1" pivotButton="0" quotePrefix="0" xfId="0"/>
    <xf numFmtId="165" fontId="6" fillId="6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6" customWidth="1" min="3" max="3"/>
  </cols>
  <sheetData>
    <row r="1" ht="26" customHeight="1">
      <c r="A1" s="1" t="inlineStr">
        <is>
          <t>C03 库存补货计算器</t>
        </is>
      </c>
    </row>
    <row r="2" ht="28" customHeight="1">
      <c r="A2" s="2" t="inlineStr">
        <is>
          <t>黄色=输入；绿色=自动计算。公式为团队经验（D级，非官方）。断货预警线 14 天/关注线 30 天为 D 级经验值。</t>
        </is>
      </c>
    </row>
    <row r="4">
      <c r="A4" s="3" t="inlineStr">
        <is>
          <t>一、输入区</t>
        </is>
      </c>
    </row>
    <row r="5">
      <c r="A5" s="4" t="inlineStr">
        <is>
          <t>日均销量（件/天）</t>
        </is>
      </c>
      <c r="B5" s="5" t="n">
        <v>20</v>
      </c>
      <c r="C5" s="6" t="inlineStr">
        <is>
          <t>建议取近 30 天均值</t>
        </is>
      </c>
    </row>
    <row r="6">
      <c r="A6" s="4" t="inlineStr">
        <is>
          <t>生产时间（天）</t>
        </is>
      </c>
      <c r="B6" s="7" t="n">
        <v>15</v>
      </c>
      <c r="C6" s="6" t="inlineStr">
        <is>
          <t>供应商交期</t>
        </is>
      </c>
    </row>
    <row r="7">
      <c r="A7" s="4" t="inlineStr">
        <is>
          <t>运输时间（天）</t>
        </is>
      </c>
      <c r="B7" s="7" t="n">
        <v>25</v>
      </c>
      <c r="C7" s="6" t="inlineStr">
        <is>
          <t>海运/空运</t>
        </is>
      </c>
    </row>
    <row r="8">
      <c r="A8" s="4" t="inlineStr">
        <is>
          <t>入仓时间（天）</t>
        </is>
      </c>
      <c r="B8" s="7" t="n">
        <v>5</v>
      </c>
      <c r="C8" s="6" t="inlineStr">
        <is>
          <t>FBA 签收至上架</t>
        </is>
      </c>
    </row>
    <row r="9">
      <c r="A9" s="4" t="inlineStr">
        <is>
          <t>安全库存（件）</t>
        </is>
      </c>
      <c r="B9" s="7" t="n">
        <v>200</v>
      </c>
      <c r="C9" s="6" t="inlineStr">
        <is>
          <t>覆盖波动；建议=日均销量×安全天数</t>
        </is>
      </c>
    </row>
    <row r="10">
      <c r="A10" s="4" t="inlineStr">
        <is>
          <t>当前 FBA 可售（件）</t>
        </is>
      </c>
      <c r="B10" s="7" t="n">
        <v>600</v>
      </c>
      <c r="C10" s="6" t="inlineStr">
        <is>
          <t>Fulfillable</t>
        </is>
      </c>
    </row>
    <row r="11">
      <c r="A11" s="4" t="inlineStr">
        <is>
          <t>在途库存（件）</t>
        </is>
      </c>
      <c r="B11" s="7" t="n">
        <v>0</v>
      </c>
      <c r="C11" s="6" t="inlineStr">
        <is>
          <t>已发货未上架</t>
        </is>
      </c>
    </row>
    <row r="12">
      <c r="A12" s="4" t="inlineStr">
        <is>
          <t>目标覆盖天数（天）</t>
        </is>
      </c>
      <c r="B12" s="7" t="n">
        <v>60</v>
      </c>
      <c r="C12" s="6" t="inlineStr">
        <is>
          <t>想覆盖多久的销量</t>
        </is>
      </c>
    </row>
    <row r="14">
      <c r="A14" s="3" t="inlineStr">
        <is>
          <t>二、输出区</t>
        </is>
      </c>
    </row>
    <row r="15">
      <c r="A15" s="4" t="inlineStr">
        <is>
          <t>Lead Time（总补货周期，天）</t>
        </is>
      </c>
      <c r="B15" s="8">
        <f>B6+B7+B8</f>
        <v/>
      </c>
      <c r="C15" s="6" t="inlineStr">
        <is>
          <t>生产+运输+入仓</t>
        </is>
      </c>
    </row>
    <row r="16">
      <c r="A16" s="4" t="inlineStr">
        <is>
          <t>补货点（件）</t>
        </is>
      </c>
      <c r="B16" s="8">
        <f>B5*B15+B9</f>
        <v/>
      </c>
      <c r="C16" s="6" t="inlineStr">
        <is>
          <t>日均×LeadTime+安全库存</t>
        </is>
      </c>
    </row>
    <row r="17">
      <c r="A17" s="4" t="inlineStr">
        <is>
          <t>当前库存覆盖天数</t>
        </is>
      </c>
      <c r="B17" s="9">
        <f>IF(B5=0,0,B10/B5)</f>
        <v/>
      </c>
      <c r="C17" s="6" t="inlineStr">
        <is>
          <t>可售/日均销量</t>
        </is>
      </c>
    </row>
    <row r="18">
      <c r="A18" s="4" t="inlineStr">
        <is>
          <t>预计断货日期</t>
        </is>
      </c>
      <c r="B18" s="10">
        <f>IF(B5=0,"",TODAY()+B10/B5)</f>
        <v/>
      </c>
      <c r="C18" s="6" t="inlineStr">
        <is>
          <t>今天+覆盖天数</t>
        </is>
      </c>
    </row>
    <row r="19">
      <c r="A19" s="4" t="inlineStr">
        <is>
          <t>建议补货量（件）</t>
        </is>
      </c>
      <c r="B19" s="8">
        <f>MAX(0,B12*B5-B10-B11)</f>
        <v/>
      </c>
      <c r="C19" s="6" t="inlineStr">
        <is>
          <t>目标覆盖×日均−可售−在途</t>
        </is>
      </c>
    </row>
    <row r="20">
      <c r="A20" s="4" t="inlineStr">
        <is>
          <t>断货风险判断</t>
        </is>
      </c>
      <c r="B20" s="11">
        <f>IF(B5=0,"",IF(B17&lt;14,"高风险：立即空运/调拨",IF(B17&lt;30,"关注：尽快安排补货","健康")))</f>
        <v/>
      </c>
      <c r="C20" s="6" t="inlineStr">
        <is>
          <t>D级阈值 14/30 天</t>
        </is>
      </c>
    </row>
    <row r="22" ht="28" customHeight="1">
      <c r="A22" s="2" t="inlineStr">
        <is>
          <t>补货端到端跟踪字段：下单日期 | 生产完成 | 发货 | 到港 | FBA 签收 | 上架可售 | 当前可售。每步更新一次（对应 07-02）。</t>
        </is>
      </c>
    </row>
  </sheetData>
  <mergeCells count="5">
    <mergeCell ref="A1:C1"/>
    <mergeCell ref="A14:C14"/>
    <mergeCell ref="A22:C22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2026-08-27T13:35:35Z</dcterms:created>
  <dcterms:modified xmlns:dcterms="http://purl.org/dc/terms/" xmlns:xsi="http://www.w3.org/2001/XMLSchema-instance" xsi:type="dcterms:W3CDTF">2026-08-27T13:35:35Z</dcterms:modified>
</cp:coreProperties>
</file>